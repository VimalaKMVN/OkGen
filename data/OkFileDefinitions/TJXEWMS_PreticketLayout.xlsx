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Header" sheetId="1" r:id="rId1"/>
    <sheet name="Detail" sheetId="2" r:id="rId2"/>
  </sheets>
  <calcPr calcId="162913"/>
</workbook>
</file>

<file path=xl/calcChain.xml><?xml version="1.0" encoding="utf-8"?>
<calcChain xmlns="http://schemas.openxmlformats.org/spreadsheetml/2006/main"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5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5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TJX</t>
        </r>
        <r>
          <rPr>
            <sz val="8"/>
            <color indexed="81"/>
            <rFont val="Tahoma"/>
            <family val="2"/>
          </rPr>
          <t xml:space="preserve">: Copy the header line (all characters between | and /. Combine into one line if data exists on multiple lines in the file) from the ok file into the cell A1. </t>
        </r>
      </text>
    </comment>
    <comment ref="A4" authorId="0" shape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any one line/lane data ( All characters between # and / after the header) from the ok file.</t>
        </r>
      </text>
    </comment>
    <comment ref="A4" authorId="0" shapeId="0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sharedStrings.xml><?xml version="1.0" encoding="utf-8"?>
<sst xmlns="http://schemas.openxmlformats.org/spreadsheetml/2006/main" count="288" uniqueCount="80">
  <si>
    <t>lookup_id</t>
  </si>
  <si>
    <t>field_name_section</t>
  </si>
  <si>
    <t>field_id</t>
  </si>
  <si>
    <t>field_name</t>
  </si>
  <si>
    <t>field_size</t>
  </si>
  <si>
    <t>func_name</t>
  </si>
  <si>
    <t>output_field_name</t>
  </si>
  <si>
    <t>field_type</t>
  </si>
  <si>
    <t>ticket_process</t>
  </si>
  <si>
    <t xml:space="preserve">Header                   </t>
  </si>
  <si>
    <t xml:space="preserve">chain                    </t>
  </si>
  <si>
    <t>NULL</t>
  </si>
  <si>
    <t xml:space="preserve">char                     </t>
  </si>
  <si>
    <t xml:space="preserve">format                   </t>
  </si>
  <si>
    <t xml:space="preserve">dept                     </t>
  </si>
  <si>
    <t xml:space="preserve">style                    </t>
  </si>
  <si>
    <t xml:space="preserve">tot_qty                  </t>
  </si>
  <si>
    <t>Value</t>
  </si>
  <si>
    <t xml:space="preserve">ret_price                </t>
  </si>
  <si>
    <t xml:space="preserve">po                       </t>
  </si>
  <si>
    <t xml:space="preserve">add                      </t>
  </si>
  <si>
    <t xml:space="preserve">date                     </t>
  </si>
  <si>
    <t xml:space="preserve">time                     </t>
  </si>
  <si>
    <t xml:space="preserve">line_count               </t>
  </si>
  <si>
    <t xml:space="preserve">block_num                </t>
  </si>
  <si>
    <t xml:space="preserve">num_block                </t>
  </si>
  <si>
    <t xml:space="preserve">tot_ret                  </t>
  </si>
  <si>
    <t>Pre-Ticket</t>
  </si>
  <si>
    <t xml:space="preserve">Lane                     </t>
  </si>
  <si>
    <t xml:space="preserve">page                     </t>
  </si>
  <si>
    <t xml:space="preserve">line                     </t>
  </si>
  <si>
    <t xml:space="preserve">category                 </t>
  </si>
  <si>
    <t xml:space="preserve">type                     </t>
  </si>
  <si>
    <t xml:space="preserve">size                     </t>
  </si>
  <si>
    <t xml:space="preserve">psi                      </t>
  </si>
  <si>
    <t xml:space="preserve">comp_price               </t>
  </si>
  <si>
    <t xml:space="preserve">comp_up                  </t>
  </si>
  <si>
    <t xml:space="preserve">qty                      </t>
  </si>
  <si>
    <t xml:space="preserve">housenum                 </t>
  </si>
  <si>
    <t xml:space="preserve">pieces                   </t>
  </si>
  <si>
    <t xml:space="preserve">ladder_mmdd              </t>
  </si>
  <si>
    <t xml:space="preserve">ladder                   </t>
  </si>
  <si>
    <t xml:space="preserve">message1                 </t>
  </si>
  <si>
    <t xml:space="preserve">message2                 </t>
  </si>
  <si>
    <t xml:space="preserve">frdesc                   </t>
  </si>
  <si>
    <t xml:space="preserve">engnoun                  </t>
  </si>
  <si>
    <t xml:space="preserve">frnoun                   </t>
  </si>
  <si>
    <t xml:space="preserve">item                     </t>
  </si>
  <si>
    <t xml:space="preserve">fact1                    </t>
  </si>
  <si>
    <t xml:space="preserve">fact2                    </t>
  </si>
  <si>
    <t xml:space="preserve">fact3                    </t>
  </si>
  <si>
    <t>indicator</t>
  </si>
  <si>
    <t>field001</t>
  </si>
  <si>
    <t>field002</t>
  </si>
  <si>
    <t>field003</t>
  </si>
  <si>
    <t>field004</t>
  </si>
  <si>
    <t>field005</t>
  </si>
  <si>
    <t>field006</t>
  </si>
  <si>
    <t>field007</t>
  </si>
  <si>
    <t>field008</t>
  </si>
  <si>
    <t>field009</t>
  </si>
  <si>
    <t>field010</t>
  </si>
  <si>
    <t>field011</t>
  </si>
  <si>
    <t>field012</t>
  </si>
  <si>
    <t>field013</t>
  </si>
  <si>
    <t>field014</t>
  </si>
  <si>
    <t>zone</t>
  </si>
  <si>
    <t>P05A10021888 8720240710352102001001000126000000339810</t>
  </si>
  <si>
    <t>00100135217504401XL    N01                  003500N99999800003000000000000000014</t>
  </si>
  <si>
    <t xml:space="preserve">field001  </t>
  </si>
  <si>
    <t>field015</t>
  </si>
  <si>
    <t>field016</t>
  </si>
  <si>
    <t>field017</t>
  </si>
  <si>
    <t>field018</t>
  </si>
  <si>
    <t>field019</t>
  </si>
  <si>
    <t>field020</t>
  </si>
  <si>
    <t>field021</t>
  </si>
  <si>
    <t>field022</t>
  </si>
  <si>
    <t>field023</t>
  </si>
  <si>
    <t>field024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</si>
</sst>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33"/>
  <sheetViews>
    <sheetView tabSelected="1" workbookViewId="0"/>
  </sheetViews>
  <sheetFormatPr defaultRowHeight="12" x14ac:dyDescent="0.2"/>
  <cols>
    <col min="1" max="1" width="8.85546875" style="1" bestFit="1" customWidth="1"/>
    <col min="2" max="2" width="16.7109375" style="1" bestFit="1" customWidth="1"/>
    <col min="3" max="3" width="8.7109375" style="1" bestFit="1" customWidth="1"/>
    <col min="4" max="4" width="16.42578125" style="1" bestFit="1" customWidth="1"/>
    <col min="5" max="5" width="8.7109375" style="1" bestFit="1" customWidth="1"/>
    <col min="6" max="6" width="9.5703125" style="1" bestFit="1" customWidth="1"/>
    <col min="7" max="7" width="20.28515625" style="1" bestFit="1" customWidth="1"/>
    <col min="8" max="8" width="13.42578125" style="1" bestFit="1" customWidth="1"/>
    <col min="9" max="9" width="14.42578125" style="1" bestFit="1" customWidth="1"/>
    <col min="10" max="10" width="14.42578125" style="1" customWidth="1"/>
    <col min="11" max="16384" width="9.140625" style="1"/>
  </cols>
  <sheetData>
    <row r="1" spans="1:10" x14ac:dyDescent="0.2">
      <c r="A1" s="6" t="s">
        <v>67</v>
      </c>
    </row>
    <row r="4" spans="1:10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</row>
    <row r="5" spans="1:10" x14ac:dyDescent="0.2">
      <c r="A5" s="2">
        <v>1</v>
      </c>
      <c r="B5" s="2" t="s">
        <v>9</v>
      </c>
      <c r="C5" s="2" t="s">
        <v>52</v>
      </c>
      <c r="D5" s="2" t="s">
        <v>51</v>
      </c>
      <c r="E5" s="2">
        <v>1</v>
      </c>
      <c r="F5" s="2" t="s">
        <v>11</v>
      </c>
      <c r="G5" s="2" t="s">
        <v>51</v>
      </c>
      <c r="H5" s="2" t="s">
        <v>12</v>
      </c>
      <c r="I5" s="2" t="s">
        <v>27</v>
      </c>
      <c r="J5" s="2" t="str">
        <f>IF(E5="","",MID($A$1, SUM($E$5:E5)-E5+1, E5))</f>
        <v>P</v>
      </c>
    </row>
    <row r="6" spans="1:10" x14ac:dyDescent="0.2">
      <c r="A6" s="2">
        <v>2</v>
      </c>
      <c r="B6" s="2" t="s">
        <v>9</v>
      </c>
      <c r="C6" s="2" t="s">
        <v>53</v>
      </c>
      <c r="D6" s="2" t="s">
        <v>10</v>
      </c>
      <c r="E6" s="2">
        <v>2</v>
      </c>
      <c r="F6" s="2" t="s">
        <v>11</v>
      </c>
      <c r="G6" s="2" t="s">
        <v>10</v>
      </c>
      <c r="H6" s="2" t="s">
        <v>12</v>
      </c>
      <c r="I6" s="2" t="s">
        <v>27</v>
      </c>
      <c r="J6" s="2" t="str">
        <f>IF(E6="","",MID($A$1, SUM($E$5:E6)-E6+1, E6))</f>
        <v>05</v>
      </c>
    </row>
    <row r="7" spans="1:10" x14ac:dyDescent="0.2">
      <c r="A7" s="2">
        <v>3</v>
      </c>
      <c r="B7" s="2" t="s">
        <v>9</v>
      </c>
      <c r="C7" s="2" t="s">
        <v>54</v>
      </c>
      <c r="D7" s="2" t="s">
        <v>13</v>
      </c>
      <c r="E7" s="2">
        <v>1</v>
      </c>
      <c r="F7" s="2" t="s">
        <v>11</v>
      </c>
      <c r="G7" s="2" t="s">
        <v>13</v>
      </c>
      <c r="H7" s="2" t="s">
        <v>12</v>
      </c>
      <c r="I7" s="2" t="s">
        <v>27</v>
      </c>
      <c r="J7" s="2" t="str">
        <f>IF(E7="","",MID($A$1, SUM($E$5:E7)-E7+1, E7))</f>
        <v>A</v>
      </c>
    </row>
    <row r="8" spans="1:10" x14ac:dyDescent="0.2">
      <c r="A8" s="2">
        <v>4</v>
      </c>
      <c r="B8" s="2" t="s">
        <v>9</v>
      </c>
      <c r="C8" s="2" t="s">
        <v>55</v>
      </c>
      <c r="D8" s="2" t="s">
        <v>19</v>
      </c>
      <c r="E8" s="2">
        <v>8</v>
      </c>
      <c r="F8" s="2" t="s">
        <v>11</v>
      </c>
      <c r="G8" s="2" t="s">
        <v>19</v>
      </c>
      <c r="H8" s="2" t="s">
        <v>12</v>
      </c>
      <c r="I8" s="2" t="s">
        <v>27</v>
      </c>
      <c r="J8" s="2" t="str">
        <f>IF(E8="","",MID($A$1, SUM($E$5:E8)-E8+1, E8))</f>
        <v>10021888</v>
      </c>
    </row>
    <row r="9" spans="1:10" x14ac:dyDescent="0.2">
      <c r="A9" s="2">
        <v>5</v>
      </c>
      <c r="B9" s="2" t="s">
        <v>9</v>
      </c>
      <c r="C9" s="2" t="s">
        <v>56</v>
      </c>
      <c r="D9" s="2" t="s">
        <v>20</v>
      </c>
      <c r="E9" s="2">
        <v>1</v>
      </c>
      <c r="F9" s="2" t="s">
        <v>11</v>
      </c>
      <c r="G9" s="2" t="s">
        <v>20</v>
      </c>
      <c r="H9" s="2" t="s">
        <v>12</v>
      </c>
      <c r="I9" s="2" t="s">
        <v>27</v>
      </c>
      <c r="J9" s="2" t="str">
        <f>IF(E9="","",MID($A$1, SUM($E$5:E9)-E9+1, E9))</f>
        <v xml:space="preserve"> </v>
      </c>
    </row>
    <row r="10" spans="1:10" x14ac:dyDescent="0.2">
      <c r="A10" s="2">
        <v>6</v>
      </c>
      <c r="B10" s="2" t="s">
        <v>9</v>
      </c>
      <c r="C10" s="2" t="s">
        <v>57</v>
      </c>
      <c r="D10" s="2" t="s">
        <v>14</v>
      </c>
      <c r="E10" s="2">
        <v>2</v>
      </c>
      <c r="F10" s="2" t="s">
        <v>11</v>
      </c>
      <c r="G10" s="2" t="s">
        <v>14</v>
      </c>
      <c r="H10" s="2" t="s">
        <v>12</v>
      </c>
      <c r="I10" s="2" t="s">
        <v>27</v>
      </c>
      <c r="J10" s="2" t="str">
        <f>IF(E10="","",MID($A$1, SUM($E$5:E10)-E10+1, E10))</f>
        <v>87</v>
      </c>
    </row>
    <row r="11" spans="1:10" x14ac:dyDescent="0.2">
      <c r="A11" s="2">
        <v>7</v>
      </c>
      <c r="B11" s="2" t="s">
        <v>9</v>
      </c>
      <c r="C11" s="2" t="s">
        <v>58</v>
      </c>
      <c r="D11" s="2" t="s">
        <v>21</v>
      </c>
      <c r="E11" s="2">
        <v>8</v>
      </c>
      <c r="F11" s="2" t="s">
        <v>11</v>
      </c>
      <c r="G11" s="2" t="s">
        <v>21</v>
      </c>
      <c r="H11" s="2" t="s">
        <v>12</v>
      </c>
      <c r="I11" s="2" t="s">
        <v>27</v>
      </c>
      <c r="J11" s="2" t="str">
        <f>IF(E11="","",MID($A$1, SUM($E$5:E11)-E11+1, E11))</f>
        <v>20240710</v>
      </c>
    </row>
    <row r="12" spans="1:10" x14ac:dyDescent="0.2">
      <c r="A12" s="2">
        <v>8</v>
      </c>
      <c r="B12" s="2" t="s">
        <v>9</v>
      </c>
      <c r="C12" s="2" t="s">
        <v>59</v>
      </c>
      <c r="D12" s="2" t="s">
        <v>22</v>
      </c>
      <c r="E12" s="2">
        <v>4</v>
      </c>
      <c r="F12" s="2" t="s">
        <v>11</v>
      </c>
      <c r="G12" s="2" t="s">
        <v>22</v>
      </c>
      <c r="H12" s="2" t="s">
        <v>12</v>
      </c>
      <c r="I12" s="2" t="s">
        <v>27</v>
      </c>
      <c r="J12" s="2" t="str">
        <f>IF(E12="","",MID($A$1, SUM($E$5:E12)-E12+1, E12))</f>
        <v>3521</v>
      </c>
    </row>
    <row r="13" spans="1:10" x14ac:dyDescent="0.2">
      <c r="A13" s="2">
        <v>9</v>
      </c>
      <c r="B13" s="2" t="s">
        <v>9</v>
      </c>
      <c r="C13" s="2" t="s">
        <v>60</v>
      </c>
      <c r="D13" s="2" t="s">
        <v>23</v>
      </c>
      <c r="E13" s="2">
        <v>2</v>
      </c>
      <c r="F13" s="2" t="s">
        <v>11</v>
      </c>
      <c r="G13" s="2" t="s">
        <v>23</v>
      </c>
      <c r="H13" s="2" t="s">
        <v>12</v>
      </c>
      <c r="I13" s="2" t="s">
        <v>27</v>
      </c>
      <c r="J13" s="2" t="str">
        <f>IF(E13="","",MID($A$1, SUM($E$5:E13)-E13+1, E13))</f>
        <v>02</v>
      </c>
    </row>
    <row r="14" spans="1:10" x14ac:dyDescent="0.2">
      <c r="A14" s="2">
        <v>10</v>
      </c>
      <c r="B14" s="2" t="s">
        <v>9</v>
      </c>
      <c r="C14" s="2" t="s">
        <v>61</v>
      </c>
      <c r="D14" s="2" t="s">
        <v>24</v>
      </c>
      <c r="E14" s="2">
        <v>3</v>
      </c>
      <c r="F14" s="2" t="s">
        <v>11</v>
      </c>
      <c r="G14" s="2" t="s">
        <v>24</v>
      </c>
      <c r="H14" s="2" t="s">
        <v>12</v>
      </c>
      <c r="I14" s="2" t="s">
        <v>27</v>
      </c>
      <c r="J14" s="2" t="str">
        <f>IF(E14="","",MID($A$1, SUM($E$5:E14)-E14+1, E14))</f>
        <v>001</v>
      </c>
    </row>
    <row r="15" spans="1:10" x14ac:dyDescent="0.2">
      <c r="A15" s="2">
        <v>11</v>
      </c>
      <c r="B15" s="2" t="s">
        <v>9</v>
      </c>
      <c r="C15" s="2" t="s">
        <v>62</v>
      </c>
      <c r="D15" s="2" t="s">
        <v>25</v>
      </c>
      <c r="E15" s="2">
        <v>3</v>
      </c>
      <c r="F15" s="2" t="s">
        <v>11</v>
      </c>
      <c r="G15" s="2" t="s">
        <v>25</v>
      </c>
      <c r="H15" s="2" t="s">
        <v>12</v>
      </c>
      <c r="I15" s="2" t="s">
        <v>27</v>
      </c>
      <c r="J15" s="2" t="str">
        <f>IF(E15="","",MID($A$1, SUM($E$5:E15)-E15+1, E15))</f>
        <v>001</v>
      </c>
    </row>
    <row r="16" spans="1:10" x14ac:dyDescent="0.2">
      <c r="A16" s="2">
        <v>12</v>
      </c>
      <c r="B16" s="2" t="s">
        <v>9</v>
      </c>
      <c r="C16" s="2" t="s">
        <v>63</v>
      </c>
      <c r="D16" s="2" t="s">
        <v>16</v>
      </c>
      <c r="E16" s="2">
        <v>7</v>
      </c>
      <c r="F16" s="2" t="s">
        <v>11</v>
      </c>
      <c r="G16" s="2" t="s">
        <v>16</v>
      </c>
      <c r="H16" s="2" t="s">
        <v>12</v>
      </c>
      <c r="I16" s="2" t="s">
        <v>27</v>
      </c>
      <c r="J16" s="2" t="str">
        <f>IF(E16="","",MID($A$1, SUM($E$5:E16)-E16+1, E16))</f>
        <v>0001260</v>
      </c>
    </row>
    <row r="17" spans="1:10" x14ac:dyDescent="0.2">
      <c r="A17" s="2">
        <v>13</v>
      </c>
      <c r="B17" s="2" t="s">
        <v>9</v>
      </c>
      <c r="C17" s="2" t="s">
        <v>64</v>
      </c>
      <c r="D17" s="2" t="s">
        <v>26</v>
      </c>
      <c r="E17" s="2">
        <v>9</v>
      </c>
      <c r="F17" s="2" t="s">
        <v>11</v>
      </c>
      <c r="G17" s="2" t="s">
        <v>26</v>
      </c>
      <c r="H17" s="2" t="s">
        <v>12</v>
      </c>
      <c r="I17" s="2" t="s">
        <v>27</v>
      </c>
      <c r="J17" s="2" t="str">
        <f>IF(E17="","",MID($A$1, SUM($E$5:E17)-E17+1, E17))</f>
        <v>000003398</v>
      </c>
    </row>
    <row r="18" spans="1:10" x14ac:dyDescent="0.2">
      <c r="A18" s="2">
        <v>14</v>
      </c>
      <c r="B18" s="2" t="s">
        <v>9</v>
      </c>
      <c r="C18" s="2" t="s">
        <v>65</v>
      </c>
      <c r="D18" s="2" t="s">
        <v>66</v>
      </c>
      <c r="E18" s="2">
        <v>2</v>
      </c>
      <c r="F18" s="2" t="s">
        <v>11</v>
      </c>
      <c r="G18" s="2" t="s">
        <v>66</v>
      </c>
      <c r="H18" s="2" t="s">
        <v>12</v>
      </c>
      <c r="I18" s="2" t="s">
        <v>27</v>
      </c>
      <c r="J18" s="2" t="str">
        <f>IF(E18="","",MID($A$1, SUM($E$5:E18)-E18+1, E18))</f>
        <v>10</v>
      </c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J21"/>
  <sheetViews>
    <sheetView workbookViewId="0"/>
  </sheetViews>
  <sheetFormatPr defaultRowHeight="12" ns2:dyDescent="0.2"/>
  <cols>
    <col min="1" max="1" width="7.85546875" style="1" bestFit="1" customWidth="1"/>
    <col min="2" max="2" width="15" style="1" bestFit="1" customWidth="1"/>
    <col min="3" max="3" width="8.140625" style="1" bestFit="1" customWidth="1"/>
    <col min="4" max="4" width="16.42578125" style="1" bestFit="1" customWidth="1"/>
    <col min="5" max="5" width="7.7109375" style="1" bestFit="1" customWidth="1"/>
    <col min="6" max="6" width="8.85546875" style="1" bestFit="1" customWidth="1"/>
    <col min="7" max="7" width="16.42578125" style="1" bestFit="1" customWidth="1"/>
    <col min="8" max="8" width="13.42578125" style="1" bestFit="1" customWidth="1"/>
    <col min="9" max="9" width="14.42578125" style="1" bestFit="1" customWidth="1"/>
    <col min="10" max="10" width="16.42578125" style="7" customWidth="1"/>
    <col min="11" max="16384" width="9.140625" style="1"/>
  </cols>
  <sheetData>
    <row r="1" spans="1:10" ns2:dyDescent="0.2">
      <c r="A1" s="1" t="s">
        <v>68</v>
      </c>
    </row>
    <row r="4" spans="1:10" ns2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17</v>
      </c>
    </row>
    <row r="5" spans="1:10" ns2:dyDescent="0.2">
      <c r="A5" s="2">
        <v>1</v>
      </c>
      <c r="B5" s="2" t="s">
        <v>28</v>
      </c>
      <c r="C5" s="1" t="s">
        <v>69</v>
      </c>
      <c r="D5" s="2" t="s">
        <v>29</v>
      </c>
      <c r="E5" s="2">
        <v>3</v>
      </c>
      <c r="F5" s="2" t="s">
        <v>11</v>
      </c>
      <c r="G5" s="2" t="s">
        <v>29</v>
      </c>
      <c r="H5" s="2" t="s">
        <v>12</v>
      </c>
      <c r="I5" s="2" t="s">
        <v>27</v>
      </c>
      <c r="J5" s="5" t="str">
        <f>IF(E5="","",MID($A$1, SUM($E$5:E5)-E5+1, E5))</f>
        <v>001</v>
      </c>
    </row>
    <row r="6" spans="1:10" ns2:dyDescent="0.2">
      <c r="A6" s="2">
        <v>2</v>
      </c>
      <c r="B6" s="2" t="s">
        <v>28</v>
      </c>
      <c r="C6" s="1" t="s">
        <v>53</v>
      </c>
      <c r="D6" s="2" t="s">
        <v>30</v>
      </c>
      <c r="E6" s="2">
        <v>3</v>
      </c>
      <c r="F6" s="2" t="s">
        <v>11</v>
      </c>
      <c r="G6" s="2" t="s">
        <v>30</v>
      </c>
      <c r="H6" s="2" t="s">
        <v>12</v>
      </c>
      <c r="I6" s="2" t="s">
        <v>27</v>
      </c>
      <c r="J6" s="5" t="str">
        <f>IF(E6="","",MID($A$1, SUM($E$5:E6)-E6+1, E6))</f>
        <v>001</v>
      </c>
    </row>
    <row r="7" spans="1:10" ns2:dyDescent="0.2">
      <c r="A7" s="2">
        <v>3</v>
      </c>
      <c r="B7" s="2" t="s">
        <v>28</v>
      </c>
      <c r="C7" s="1" t="s">
        <v>54</v>
      </c>
      <c r="D7" s="2" t="s">
        <v>31</v>
      </c>
      <c r="E7" s="2">
        <v>4</v>
      </c>
      <c r="F7" s="2" t="s">
        <v>11</v>
      </c>
      <c r="G7" s="2" t="s">
        <v>31</v>
      </c>
      <c r="H7" s="2" t="s">
        <v>12</v>
      </c>
      <c r="I7" s="2" t="s">
        <v>27</v>
      </c>
      <c r="J7" s="5" t="str">
        <f>IF(E7="","",MID($A$1, SUM($E$5:E7)-E7+1, E7))</f>
        <v>3521</v>
      </c>
    </row>
    <row r="8" spans="1:10" ns2:dyDescent="0.2">
      <c r="A8" s="2">
        <v>4</v>
      </c>
      <c r="B8" s="2" t="s">
        <v>28</v>
      </c>
      <c r="C8" s="1" t="s">
        <v>55</v>
      </c>
      <c r="D8" s="2" t="s">
        <v>15</v>
      </c>
      <c r="E8" s="2">
        <v>6</v>
      </c>
      <c r="F8" s="2" t="s">
        <v>11</v>
      </c>
      <c r="G8" s="2" t="s">
        <v>15</v>
      </c>
      <c r="H8" s="2" t="s">
        <v>12</v>
      </c>
      <c r="I8" s="2" t="s">
        <v>27</v>
      </c>
      <c r="J8" s="5" t="str">
        <f>IF(E8="","",MID($A$1, SUM($E$5:E8)-E8+1, E8))</f>
        <v>750440</v>
      </c>
    </row>
    <row r="9" spans="1:10" ns2:dyDescent="0.2">
      <c r="A9" s="2">
        <v>5</v>
      </c>
      <c r="B9" s="2" t="s">
        <v>28</v>
      </c>
      <c r="C9" s="1" t="s">
        <v>56</v>
      </c>
      <c r="D9" s="2" t="s">
        <v>32</v>
      </c>
      <c r="E9" s="2">
        <v>1</v>
      </c>
      <c r="F9" s="2" t="s">
        <v>11</v>
      </c>
      <c r="G9" s="2" t="s">
        <v>32</v>
      </c>
      <c r="H9" s="2" t="s">
        <v>12</v>
      </c>
      <c r="I9" s="2" t="s">
        <v>27</v>
      </c>
      <c r="J9" s="5" t="str">
        <f>IF(E9="","",MID($A$1, SUM($E$5:E9)-E9+1, E9))</f>
        <v>1</v>
      </c>
    </row>
    <row r="10" spans="1:10" ns2:dyDescent="0.2">
      <c r="A10" s="2">
        <v>6</v>
      </c>
      <c r="B10" s="2" t="s">
        <v>28</v>
      </c>
      <c r="C10" s="1" t="s">
        <v>57</v>
      </c>
      <c r="D10" s="2" t="s">
        <v>33</v>
      </c>
      <c r="E10" s="2">
        <v>6</v>
      </c>
      <c r="F10" s="2" t="s">
        <v>11</v>
      </c>
      <c r="G10" s="2" t="s">
        <v>33</v>
      </c>
      <c r="H10" s="2" t="s">
        <v>12</v>
      </c>
      <c r="I10" s="2" t="s">
        <v>27</v>
      </c>
      <c r="J10" s="5" t="str">
        <f>IF(E10="","",MID($A$1, SUM($E$5:E10)-E10+1, E10))</f>
        <v xml:space="preserve">XL    </v>
      </c>
    </row>
    <row r="11" spans="1:10" ns2:dyDescent="0.2">
      <c r="A11" s="2">
        <v>7</v>
      </c>
      <c r="B11" s="2" t="s">
        <v>28</v>
      </c>
      <c r="C11" s="1" t="s">
        <v>58</v>
      </c>
      <c r="D11" s="2" t="s">
        <v>34</v>
      </c>
      <c r="E11" s="2">
        <v>1</v>
      </c>
      <c r="F11" s="2" t="s">
        <v>11</v>
      </c>
      <c r="G11" s="2" t="s">
        <v>34</v>
      </c>
      <c r="H11" s="2" t="s">
        <v>12</v>
      </c>
      <c r="I11" s="2" t="s">
        <v>27</v>
      </c>
      <c r="J11" s="5" t="str">
        <f>IF(E11="","",MID($A$1, SUM($E$5:E11)-E11+1, E11))</f>
        <v>N</v>
      </c>
    </row>
    <row r="12" spans="1:10" ns2:dyDescent="0.2">
      <c r="A12" s="2">
        <v>8</v>
      </c>
      <c r="B12" s="2" t="s">
        <v>28</v>
      </c>
      <c r="C12" s="1" t="s">
        <v>59</v>
      </c>
      <c r="D12" s="2" t="s">
        <v>42</v>
      </c>
      <c r="E12" s="2">
        <v>10</v>
      </c>
      <c r="F12" s="2" t="s">
        <v>11</v>
      </c>
      <c r="G12" s="2" t="s">
        <v>42</v>
      </c>
      <c r="H12" s="2" t="s">
        <v>12</v>
      </c>
      <c r="I12" s="2" t="s">
        <v>27</v>
      </c>
      <c r="J12" s="5" t="str">
        <f>IF(E12="","",MID($A$1, SUM($E$5:E12)-E12+1, E12))</f>
        <v xml:space="preserve">01        </v>
      </c>
    </row>
    <row r="13" spans="1:10" ns2:dyDescent="0.2">
      <c r="A13" s="2">
        <v>9</v>
      </c>
      <c r="B13" s="2" t="s">
        <v>28</v>
      </c>
      <c r="C13" s="1" t="s">
        <v>60</v>
      </c>
      <c r="D13" s="2" t="s">
        <v>43</v>
      </c>
      <c r="E13" s="2">
        <v>10</v>
      </c>
      <c r="F13" s="2" t="s">
        <v>11</v>
      </c>
      <c r="G13" s="2" t="s">
        <v>43</v>
      </c>
      <c r="H13" s="2" t="s">
        <v>12</v>
      </c>
      <c r="I13" s="2" t="s">
        <v>27</v>
      </c>
      <c r="J13" s="5" t="str">
        <f>IF(E13="","",MID($A$1, SUM($E$5:E13)-E13+1, E13))</f>
        <v xml:space="preserve">          </v>
      </c>
    </row>
    <row r="14" spans="1:10" ns2:dyDescent="0.2">
      <c r="A14" s="2">
        <v>10</v>
      </c>
      <c r="B14" s="2" t="s">
        <v>28</v>
      </c>
      <c r="C14" s="1" t="s">
        <v>61</v>
      </c>
      <c r="D14" s="2" t="s">
        <v>35</v>
      </c>
      <c r="E14" s="2">
        <v>6</v>
      </c>
      <c r="F14" s="2" t="s">
        <v>11</v>
      </c>
      <c r="G14" s="2" t="s">
        <v>35</v>
      </c>
      <c r="H14" s="2" t="s">
        <v>12</v>
      </c>
      <c r="I14" s="2" t="s">
        <v>27</v>
      </c>
      <c r="J14" s="5" t="str">
        <f>IF(E14="","",MID($A$1, SUM($E$5:E14)-E14+1, E14))</f>
        <v>003500</v>
      </c>
    </row>
    <row r="15" spans="1:10" ns2:dyDescent="0.2">
      <c r="A15" s="2">
        <v>11</v>
      </c>
      <c r="B15" s="2" t="s">
        <v>28</v>
      </c>
      <c r="C15" s="1" t="s">
        <v>62</v>
      </c>
      <c r="D15" s="2" t="s">
        <v>36</v>
      </c>
      <c r="E15" s="2">
        <v>1</v>
      </c>
      <c r="F15" s="2" t="s">
        <v>11</v>
      </c>
      <c r="G15" s="2" t="s">
        <v>36</v>
      </c>
      <c r="H15" s="2" t="s">
        <v>12</v>
      </c>
      <c r="I15" s="2" t="s">
        <v>27</v>
      </c>
      <c r="J15" s="5" t="str">
        <f>IF(E15="","",MID($A$1, SUM($E$5:E15)-E15+1, E15))</f>
        <v>N</v>
      </c>
    </row>
    <row r="16" spans="1:10" ns2:dyDescent="0.2">
      <c r="A16" s="2">
        <v>12</v>
      </c>
      <c r="B16" s="2" t="s">
        <v>28</v>
      </c>
      <c r="C16" s="1" t="s">
        <v>63</v>
      </c>
      <c r="D16" s="2" t="s">
        <v>18</v>
      </c>
      <c r="E16" s="2">
        <v>6</v>
      </c>
      <c r="F16" s="2" t="s">
        <v>11</v>
      </c>
      <c r="G16" s="2" t="s">
        <v>18</v>
      </c>
      <c r="H16" s="2" t="s">
        <v>12</v>
      </c>
      <c r="I16" s="2" t="s">
        <v>27</v>
      </c>
      <c r="J16" s="5" t="str">
        <f>IF(E16="","",MID($A$1, SUM($E$5:E16)-E16+1, E16))</f>
        <v>999998</v>
      </c>
    </row>
    <row r="17" spans="1:10" ns2:dyDescent="0.2">
      <c r="A17" s="2">
        <v>13</v>
      </c>
      <c r="B17" s="2" t="s">
        <v>28</v>
      </c>
      <c r="C17" s="1" t="s">
        <v>64</v>
      </c>
      <c r="D17" s="2" t="s">
        <v>37</v>
      </c>
      <c r="E17" s="2">
        <v>5</v>
      </c>
      <c r="F17" s="2" t="s">
        <v>11</v>
      </c>
      <c r="G17" s="2" t="s">
        <v>37</v>
      </c>
      <c r="H17" s="2" t="s">
        <v>12</v>
      </c>
      <c r="I17" s="2" t="s">
        <v>27</v>
      </c>
      <c r="J17" s="5" t="str">
        <f>IF(E17="","",MID($A$1, SUM($E$5:E17)-E17+1, E17))</f>
        <v>00003</v>
      </c>
    </row>
    <row r="18" spans="1:10" ns2:dyDescent="0.2">
      <c r="A18" s="2">
        <v>14</v>
      </c>
      <c r="B18" s="2" t="s">
        <v>28</v>
      </c>
      <c r="C18" s="1" t="s">
        <v>65</v>
      </c>
      <c r="D18" s="2" t="s">
        <v>38</v>
      </c>
      <c r="E18" s="2">
        <v>9</v>
      </c>
      <c r="F18" s="2" t="s">
        <v>11</v>
      </c>
      <c r="G18" s="2" t="s">
        <v>38</v>
      </c>
      <c r="H18" s="2" t="s">
        <v>12</v>
      </c>
      <c r="I18" s="2" t="s">
        <v>27</v>
      </c>
      <c r="J18" s="5" t="str">
        <f>IF(E18="","",MID($A$1, SUM($E$5:E18)-E18+1, E18))</f>
        <v>000000000</v>
      </c>
    </row>
    <row r="19" spans="1:10" ns2:dyDescent="0.2">
      <c r="A19" s="2">
        <v>15</v>
      </c>
      <c r="B19" s="2" t="s">
        <v>28</v>
      </c>
      <c r="C19" s="1" t="s">
        <v>70</v>
      </c>
      <c r="D19" s="2" t="s">
        <v>39</v>
      </c>
      <c r="E19" s="2">
        <v>3</v>
      </c>
      <c r="F19" s="2" t="s">
        <v>11</v>
      </c>
      <c r="G19" s="2" t="s">
        <v>39</v>
      </c>
      <c r="H19" s="2" t="s">
        <v>12</v>
      </c>
      <c r="I19" s="2" t="s">
        <v>27</v>
      </c>
      <c r="J19" s="5" t="str">
        <f>IF(E19="","",MID($A$1, SUM($E$5:E19)-E19+1, E19))</f>
        <v>000</v>
      </c>
    </row>
    <row r="20" spans="1:10" ns2:dyDescent="0.2">
      <c r="A20" s="2">
        <v>16</v>
      </c>
      <c r="B20" s="2" t="s">
        <v>28</v>
      </c>
      <c r="C20" s="1" t="s">
        <v>71</v>
      </c>
      <c r="D20" s="2" t="s">
        <v>40</v>
      </c>
      <c r="E20" s="2">
        <v>4</v>
      </c>
      <c r="F20" s="2" t="s">
        <v>11</v>
      </c>
      <c r="G20" s="2" t="s">
        <v>40</v>
      </c>
      <c r="H20" s="2" t="s">
        <v>12</v>
      </c>
      <c r="I20" s="2" t="s">
        <v>27</v>
      </c>
      <c r="J20" s="5" t="str">
        <f>IF(E20="","",MID($A$1, SUM($E$5:E20)-E20+1, E20))</f>
        <v>0000</v>
      </c>
    </row>
    <row r="21" spans="1:10" ns2:dyDescent="0.2">
      <c r="A21" s="2">
        <v>17</v>
      </c>
      <c r="B21" s="2" t="s">
        <v>28</v>
      </c>
      <c r="C21" s="1" t="s">
        <v>72</v>
      </c>
      <c r="D21" s="2" t="s">
        <v>41</v>
      </c>
      <c r="E21" s="2">
        <v>2</v>
      </c>
      <c r="F21" s="2" t="s">
        <v>11</v>
      </c>
      <c r="G21" s="2" t="s">
        <v>41</v>
      </c>
      <c r="H21" s="2" t="s">
        <v>12</v>
      </c>
      <c r="I21" s="2" t="s">
        <v>27</v>
      </c>
      <c r="J21" s="5" t="str">
        <f>IF(E21="","",MID($A$1, SUM($E$5:E21)-E21+1, E21))</f>
        <v>14</v>
      </c>
    </row>
  </sheetData>
  <pageMargins left="0.7" right="0.7" top="0.75" bottom="0.75" header="0.3" footer="0.3"/>
  <pageSetup orientation="portrait" ns3:id="rId1"/>
  <legacyDrawing ns3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2026-06-30T00:46:40Z</dcterms:modified>
</cp:coreProperties>
</file>