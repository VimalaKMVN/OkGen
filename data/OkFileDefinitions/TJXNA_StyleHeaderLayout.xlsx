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4" documentId="11_BE92376247F9674119152C9C413FB52EA09472D8" xr6:coauthVersionLast="47" xr6:coauthVersionMax="47" xr10:uidLastSave="{803D4F46-7E7E-40A5-B4F3-A68E9648C9E3}"/>
  <bookViews>
    <workbookView xWindow="-120" yWindow="-120" windowWidth="29040" windowHeight="15720" xr2:uid="{00000000-000D-0000-FFFF-FFFF00000000}"/>
  </bookViews>
  <sheets>
    <sheet name="Header" sheetId="1" r:id="rId1"/>
    <sheet name="Lane" sheetId="2" r:id="rId2"/>
    <sheet name="Siz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J6" i="2"/>
  <c r="J7" i="2" s="1"/>
  <c r="K5" i="2"/>
  <c r="K40" i="1"/>
  <c r="J6" i="1"/>
  <c r="K6" i="1" s="1"/>
  <c r="K5" i="1"/>
  <c r="J8" i="2" l="1"/>
  <c r="K7" i="2"/>
  <c r="J7" i="1"/>
  <c r="K6" i="2"/>
  <c r="J8" i="1" l="1"/>
  <c r="K7" i="1"/>
  <c r="J9" i="2"/>
  <c r="K8" i="2"/>
  <c r="J10" i="2" l="1"/>
  <c r="K9" i="2"/>
  <c r="J9" i="1"/>
  <c r="K8" i="1"/>
  <c r="K9" i="1" l="1"/>
  <c r="J10" i="1"/>
  <c r="J11" i="2"/>
  <c r="K10" i="2"/>
  <c r="J11" i="1" l="1"/>
  <c r="K10" i="1"/>
  <c r="J12" i="2"/>
  <c r="K11" i="2"/>
  <c r="J13" i="2" l="1"/>
  <c r="K12" i="2"/>
  <c r="K11" i="1"/>
  <c r="J12" i="1"/>
  <c r="J13" i="1" l="1"/>
  <c r="K12" i="1"/>
  <c r="J14" i="2"/>
  <c r="K14" i="2" s="1"/>
  <c r="K13" i="2"/>
  <c r="K13" i="1" l="1"/>
  <c r="J14" i="1"/>
  <c r="J15" i="1" l="1"/>
  <c r="K14" i="1"/>
  <c r="K15" i="1" l="1"/>
  <c r="J16" i="1"/>
  <c r="J17" i="1" l="1"/>
  <c r="K16" i="1"/>
  <c r="K17" i="1" l="1"/>
  <c r="J18" i="1"/>
  <c r="J19" i="1" l="1"/>
  <c r="K18" i="1"/>
  <c r="J20" i="1" l="1"/>
  <c r="K19" i="1"/>
  <c r="K20" i="1" l="1"/>
  <c r="J21" i="1"/>
  <c r="J22" i="1" l="1"/>
  <c r="K21" i="1"/>
  <c r="J23" i="1" l="1"/>
  <c r="K22" i="1"/>
  <c r="J24" i="1" l="1"/>
  <c r="K23" i="1"/>
  <c r="J25" i="1" l="1"/>
  <c r="K24" i="1"/>
  <c r="J26" i="1" l="1"/>
  <c r="K25" i="1"/>
  <c r="J27" i="1" l="1"/>
  <c r="K26" i="1"/>
  <c r="J28" i="1" l="1"/>
  <c r="K27" i="1"/>
  <c r="J29" i="1" l="1"/>
  <c r="K28" i="1"/>
  <c r="J30" i="1" l="1"/>
  <c r="K29" i="1"/>
  <c r="J31" i="1" l="1"/>
  <c r="K30" i="1"/>
  <c r="J32" i="1" l="1"/>
  <c r="K31" i="1"/>
  <c r="J33" i="1" l="1"/>
  <c r="K32" i="1"/>
  <c r="J34" i="1" l="1"/>
  <c r="K33" i="1"/>
  <c r="J35" i="1" l="1"/>
  <c r="K34" i="1"/>
  <c r="J36" i="1" l="1"/>
  <c r="K35" i="1"/>
  <c r="J37" i="1" l="1"/>
  <c r="K36" i="1"/>
  <c r="J38" i="1" l="1"/>
  <c r="K37" i="1"/>
  <c r="J39" i="1" l="1"/>
  <c r="K39" i="1" s="1"/>
  <c r="K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TJX</t>
        </r>
        <r>
          <rPr>
            <sz val="8"/>
            <color indexed="81"/>
            <rFont val="Tahoma"/>
            <family val="2"/>
          </rPr>
          <t xml:space="preserve">: Copy the header line (all characters between | and /. Combine into one line if data exists on multiple lines in the file) from the ok file into the cell A1. </t>
        </r>
      </text>
    </comment>
    <comment ref="A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any one line/lane data ( All characters between # and / after the header) from the ok file.</t>
        </r>
      </text>
    </comment>
    <comment ref="A4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TJX: Delete existing data in the table columns A to I. Copy results of the query in first tab into the table.</t>
        </r>
      </text>
    </comment>
    <comment ref="J4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Calculated value. Position = Previous value position + previous value field size</t>
        </r>
      </text>
    </comment>
    <comment ref="K4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Value in the ok file based on position and field size.</t>
        </r>
      </text>
    </comment>
  </commentList>
</comments>
</file>

<file path=xl/sharedStrings.xml><?xml version="1.0" encoding="utf-8"?>
<sst xmlns="http://schemas.openxmlformats.org/spreadsheetml/2006/main" count="374" uniqueCount="115">
  <si>
    <t>lookup_id</t>
  </si>
  <si>
    <t>field_name_section</t>
  </si>
  <si>
    <t>field_id</t>
  </si>
  <si>
    <t>field_name</t>
  </si>
  <si>
    <t>field_size</t>
  </si>
  <si>
    <t>func_name</t>
  </si>
  <si>
    <t>output_field_name</t>
  </si>
  <si>
    <t>field_type</t>
  </si>
  <si>
    <t>ticket_process</t>
  </si>
  <si>
    <t xml:space="preserve">Header                   </t>
  </si>
  <si>
    <t xml:space="preserve">field007  </t>
  </si>
  <si>
    <t xml:space="preserve">chain                    </t>
  </si>
  <si>
    <t>NULL</t>
  </si>
  <si>
    <t xml:space="preserve">char                     </t>
  </si>
  <si>
    <t xml:space="preserve">Style Header        </t>
  </si>
  <si>
    <t xml:space="preserve">field008  </t>
  </si>
  <si>
    <t xml:space="preserve">indicator                </t>
  </si>
  <si>
    <t xml:space="preserve">field009  </t>
  </si>
  <si>
    <t xml:space="preserve">format                   </t>
  </si>
  <si>
    <t xml:space="preserve">field010  </t>
  </si>
  <si>
    <t xml:space="preserve">keytrol                  </t>
  </si>
  <si>
    <t xml:space="preserve">field011  </t>
  </si>
  <si>
    <t xml:space="preserve">suffix                   </t>
  </si>
  <si>
    <t xml:space="preserve">field014  </t>
  </si>
  <si>
    <t xml:space="preserve">date                     </t>
  </si>
  <si>
    <t xml:space="preserve">field015  </t>
  </si>
  <si>
    <t xml:space="preserve">time                     </t>
  </si>
  <si>
    <t xml:space="preserve">field016  </t>
  </si>
  <si>
    <t xml:space="preserve">version                  </t>
  </si>
  <si>
    <t xml:space="preserve">field021  </t>
  </si>
  <si>
    <t xml:space="preserve">dept                     </t>
  </si>
  <si>
    <t xml:space="preserve">field022  </t>
  </si>
  <si>
    <t xml:space="preserve">category                 </t>
  </si>
  <si>
    <t xml:space="preserve">field023  </t>
  </si>
  <si>
    <t xml:space="preserve">style                    </t>
  </si>
  <si>
    <t xml:space="preserve">field024  </t>
  </si>
  <si>
    <t xml:space="preserve">type                     </t>
  </si>
  <si>
    <t xml:space="preserve">field025  </t>
  </si>
  <si>
    <t xml:space="preserve">psi                      </t>
  </si>
  <si>
    <t xml:space="preserve">field020  </t>
  </si>
  <si>
    <t xml:space="preserve">desc                     </t>
  </si>
  <si>
    <t xml:space="preserve">field036  </t>
  </si>
  <si>
    <t xml:space="preserve">lane_rec                 </t>
  </si>
  <si>
    <t xml:space="preserve">field038  </t>
  </si>
  <si>
    <t xml:space="preserve">lane1                    </t>
  </si>
  <si>
    <t xml:space="preserve">field017  </t>
  </si>
  <si>
    <t xml:space="preserve">area                     </t>
  </si>
  <si>
    <t xml:space="preserve">tot_qty                  </t>
  </si>
  <si>
    <t xml:space="preserve">field039  </t>
  </si>
  <si>
    <t xml:space="preserve">lane2                    </t>
  </si>
  <si>
    <t xml:space="preserve">field040  </t>
  </si>
  <si>
    <t xml:space="preserve">lane3                    </t>
  </si>
  <si>
    <t xml:space="preserve">field041  </t>
  </si>
  <si>
    <t xml:space="preserve">lane4                    </t>
  </si>
  <si>
    <t xml:space="preserve">field042  </t>
  </si>
  <si>
    <t xml:space="preserve">lane5                    </t>
  </si>
  <si>
    <t xml:space="preserve">field043  </t>
  </si>
  <si>
    <t xml:space="preserve">lane6                    </t>
  </si>
  <si>
    <t xml:space="preserve">field044  </t>
  </si>
  <si>
    <t xml:space="preserve">lane7                    </t>
  </si>
  <si>
    <t xml:space="preserve">field045  </t>
  </si>
  <si>
    <t xml:space="preserve">lane8                    </t>
  </si>
  <si>
    <t xml:space="preserve">field046  </t>
  </si>
  <si>
    <t xml:space="preserve">lane9                    </t>
  </si>
  <si>
    <t xml:space="preserve">field047  </t>
  </si>
  <si>
    <t xml:space="preserve">lane10                   </t>
  </si>
  <si>
    <t>Position</t>
  </si>
  <si>
    <t>Value</t>
  </si>
  <si>
    <t xml:space="preserve">ret_price                </t>
  </si>
  <si>
    <t xml:space="preserve">comp_price               </t>
  </si>
  <si>
    <t>03NB509364AA 1T:2122496201009080751INITIAL   LUDBNGUM       A600718-8IN MULTI VOTIVE         3412331591741N                    002400N00079900000670000000000000910090100                                                                                \</t>
  </si>
  <si>
    <t xml:space="preserve">field012  </t>
  </si>
  <si>
    <t xml:space="preserve">field013  </t>
  </si>
  <si>
    <t xml:space="preserve">field018  </t>
  </si>
  <si>
    <t xml:space="preserve">field019  </t>
  </si>
  <si>
    <t xml:space="preserve">field026  </t>
  </si>
  <si>
    <t xml:space="preserve">field027  </t>
  </si>
  <si>
    <t xml:space="preserve">field028  </t>
  </si>
  <si>
    <t xml:space="preserve">field029  </t>
  </si>
  <si>
    <t xml:space="preserve">field030  </t>
  </si>
  <si>
    <t xml:space="preserve">field031  </t>
  </si>
  <si>
    <t xml:space="preserve">field032  </t>
  </si>
  <si>
    <t xml:space="preserve">field033  </t>
  </si>
  <si>
    <t xml:space="preserve">field034  </t>
  </si>
  <si>
    <t xml:space="preserve">field035  </t>
  </si>
  <si>
    <t xml:space="preserve">field037  </t>
  </si>
  <si>
    <t xml:space="preserve">field180  </t>
  </si>
  <si>
    <t xml:space="preserve">field181  </t>
  </si>
  <si>
    <t xml:space="preserve">field182  </t>
  </si>
  <si>
    <t xml:space="preserve">field183  </t>
  </si>
  <si>
    <t xml:space="preserve">seq_code                 </t>
  </si>
  <si>
    <t xml:space="preserve">pack_id                  </t>
  </si>
  <si>
    <t xml:space="preserve">instructions             </t>
  </si>
  <si>
    <t xml:space="preserve">ven_style                </t>
  </si>
  <si>
    <t xml:space="preserve">message1                 </t>
  </si>
  <si>
    <t xml:space="preserve">message2                 </t>
  </si>
  <si>
    <t xml:space="preserve">comp_up                  </t>
  </si>
  <si>
    <t xml:space="preserve">housenum                 </t>
  </si>
  <si>
    <t xml:space="preserve">pieces                   </t>
  </si>
  <si>
    <t xml:space="preserve">ladder_mmdd              </t>
  </si>
  <si>
    <t xml:space="preserve">ladder                   </t>
  </si>
  <si>
    <t xml:space="preserve">size_rec                 </t>
  </si>
  <si>
    <t xml:space="preserve">item                     </t>
  </si>
  <si>
    <t xml:space="preserve">fact1                    </t>
  </si>
  <si>
    <t xml:space="preserve">fact2                    </t>
  </si>
  <si>
    <t xml:space="preserve">fact3                    </t>
  </si>
  <si>
    <t xml:space="preserve">Lane                     </t>
  </si>
  <si>
    <t xml:space="preserve">RCV034  </t>
  </si>
  <si>
    <t xml:space="preserve"> XS   00026</t>
  </si>
  <si>
    <t>Size</t>
  </si>
  <si>
    <t xml:space="preserve">field048  </t>
  </si>
  <si>
    <t xml:space="preserve">field049  </t>
  </si>
  <si>
    <t xml:space="preserve">size                     </t>
  </si>
  <si>
    <t xml:space="preserve">qty                      </t>
  </si>
  <si>
    <t>Style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</si>
</sst>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A4" sqref="A4"/>
    </sheetView>
  </sheetViews>
  <sheetFormatPr defaultRowHeight="12" x14ac:dyDescent="0.2"/>
  <cols>
    <col min="1" max="1" width="8.85546875" style="1" bestFit="1" customWidth="1"/>
    <col min="2" max="2" width="16.7109375" style="1" bestFit="1" customWidth="1"/>
    <col min="3" max="3" width="8.140625" style="1" bestFit="1" customWidth="1"/>
    <col min="4" max="4" width="20.28515625" style="1" bestFit="1" customWidth="1"/>
    <col min="5" max="5" width="8.7109375" style="1" bestFit="1" customWidth="1"/>
    <col min="6" max="6" width="9.5703125" style="1" bestFit="1" customWidth="1"/>
    <col min="7" max="7" width="20.28515625" style="1" bestFit="1" customWidth="1"/>
    <col min="8" max="8" width="13.42578125" style="1" bestFit="1" customWidth="1"/>
    <col min="9" max="9" width="14.42578125" style="1" bestFit="1" customWidth="1"/>
    <col min="10" max="10" width="9.140625" style="1"/>
    <col min="11" max="11" width="25.140625" style="4" customWidth="1"/>
    <col min="12" max="16384" width="9.140625" style="1"/>
  </cols>
  <sheetData>
    <row r="1" spans="1:11" x14ac:dyDescent="0.2">
      <c r="A1" s="1" t="s">
        <v>70</v>
      </c>
    </row>
    <row r="4" spans="1:1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66</v>
      </c>
      <c r="K4" s="5" t="s">
        <v>67</v>
      </c>
    </row>
    <row r="5" spans="1:11" x14ac:dyDescent="0.2">
      <c r="A5" s="2">
        <v>4</v>
      </c>
      <c r="B5" s="2" t="s">
        <v>9</v>
      </c>
      <c r="C5" s="2" t="s">
        <v>10</v>
      </c>
      <c r="D5" s="2" t="s">
        <v>11</v>
      </c>
      <c r="E5" s="2">
        <v>2</v>
      </c>
      <c r="F5" s="2" t="s">
        <v>12</v>
      </c>
      <c r="G5" s="2" t="s">
        <v>11</v>
      </c>
      <c r="H5" s="2" t="s">
        <v>13</v>
      </c>
      <c r="I5" s="2" t="s">
        <v>14</v>
      </c>
      <c r="J5" s="2">
        <v>1</v>
      </c>
      <c r="K5" s="6" t="str">
        <f>IF(J5&lt;&gt;"",MID($A$1, J5,E5),"")</f>
        <v>03</v>
      </c>
    </row>
    <row r="6" spans="1:11" x14ac:dyDescent="0.2">
      <c r="A6" s="2">
        <v>5</v>
      </c>
      <c r="B6" s="2" t="s">
        <v>9</v>
      </c>
      <c r="C6" s="2" t="s">
        <v>15</v>
      </c>
      <c r="D6" s="2" t="s">
        <v>16</v>
      </c>
      <c r="E6" s="2">
        <v>1</v>
      </c>
      <c r="F6" s="2" t="s">
        <v>12</v>
      </c>
      <c r="G6" s="2" t="s">
        <v>16</v>
      </c>
      <c r="H6" s="2" t="s">
        <v>13</v>
      </c>
      <c r="I6" s="2" t="s">
        <v>14</v>
      </c>
      <c r="J6" s="2">
        <f>J5+E5</f>
        <v>3</v>
      </c>
      <c r="K6" s="6" t="str">
        <f t="shared" ref="K6:K39" si="0">IF(J6&lt;&gt;"",MID($A$1, J6,E6),"")</f>
        <v>N</v>
      </c>
    </row>
    <row r="7" spans="1:11" x14ac:dyDescent="0.2">
      <c r="A7" s="2">
        <v>6</v>
      </c>
      <c r="B7" s="2" t="s">
        <v>9</v>
      </c>
      <c r="C7" s="2" t="s">
        <v>17</v>
      </c>
      <c r="D7" s="2" t="s">
        <v>18</v>
      </c>
      <c r="E7" s="2">
        <v>1</v>
      </c>
      <c r="F7" s="2" t="s">
        <v>12</v>
      </c>
      <c r="G7" s="2" t="s">
        <v>18</v>
      </c>
      <c r="H7" s="2" t="s">
        <v>13</v>
      </c>
      <c r="I7" s="2" t="s">
        <v>14</v>
      </c>
      <c r="J7" s="2">
        <f t="shared" ref="J7:J39" si="1">J6+E6</f>
        <v>4</v>
      </c>
      <c r="K7" s="6" t="str">
        <f t="shared" si="0"/>
        <v>B</v>
      </c>
    </row>
    <row r="8" spans="1:11" x14ac:dyDescent="0.2">
      <c r="A8" s="2">
        <v>7</v>
      </c>
      <c r="B8" s="2" t="s">
        <v>9</v>
      </c>
      <c r="C8" s="2" t="s">
        <v>19</v>
      </c>
      <c r="D8" s="2" t="s">
        <v>20</v>
      </c>
      <c r="E8" s="2">
        <v>6</v>
      </c>
      <c r="F8" s="2" t="s">
        <v>12</v>
      </c>
      <c r="G8" s="2" t="s">
        <v>20</v>
      </c>
      <c r="H8" s="2" t="s">
        <v>13</v>
      </c>
      <c r="I8" s="2" t="s">
        <v>14</v>
      </c>
      <c r="J8" s="2">
        <f t="shared" si="1"/>
        <v>5</v>
      </c>
      <c r="K8" s="6" t="str">
        <f t="shared" si="0"/>
        <v>509364</v>
      </c>
    </row>
    <row r="9" spans="1:11" x14ac:dyDescent="0.2">
      <c r="A9" s="2">
        <v>8</v>
      </c>
      <c r="B9" s="2" t="s">
        <v>9</v>
      </c>
      <c r="C9" s="2" t="s">
        <v>21</v>
      </c>
      <c r="D9" s="2" t="s">
        <v>22</v>
      </c>
      <c r="E9" s="2">
        <v>3</v>
      </c>
      <c r="F9" s="2" t="s">
        <v>12</v>
      </c>
      <c r="G9" s="2" t="s">
        <v>22</v>
      </c>
      <c r="H9" s="2" t="s">
        <v>13</v>
      </c>
      <c r="I9" s="2" t="s">
        <v>14</v>
      </c>
      <c r="J9" s="2">
        <f t="shared" si="1"/>
        <v>11</v>
      </c>
      <c r="K9" s="6" t="str">
        <f t="shared" si="0"/>
        <v xml:space="preserve">AA </v>
      </c>
    </row>
    <row r="10" spans="1:11" x14ac:dyDescent="0.2">
      <c r="A10" s="2">
        <v>9</v>
      </c>
      <c r="B10" s="2" t="s">
        <v>9</v>
      </c>
      <c r="C10" s="2" t="s">
        <v>71</v>
      </c>
      <c r="D10" s="2" t="s">
        <v>90</v>
      </c>
      <c r="E10" s="2">
        <v>1</v>
      </c>
      <c r="F10" s="2" t="s">
        <v>12</v>
      </c>
      <c r="G10" s="2" t="s">
        <v>90</v>
      </c>
      <c r="H10" s="2" t="s">
        <v>13</v>
      </c>
      <c r="I10" s="2" t="s">
        <v>14</v>
      </c>
      <c r="J10" s="2">
        <f t="shared" si="1"/>
        <v>14</v>
      </c>
      <c r="K10" s="6" t="str">
        <f t="shared" si="0"/>
        <v>1</v>
      </c>
    </row>
    <row r="11" spans="1:11" x14ac:dyDescent="0.2">
      <c r="A11" s="2">
        <v>10</v>
      </c>
      <c r="B11" s="2" t="s">
        <v>9</v>
      </c>
      <c r="C11" s="2" t="s">
        <v>72</v>
      </c>
      <c r="D11" s="2" t="s">
        <v>91</v>
      </c>
      <c r="E11" s="2">
        <v>9</v>
      </c>
      <c r="F11" s="2" t="s">
        <v>12</v>
      </c>
      <c r="G11" s="2" t="s">
        <v>91</v>
      </c>
      <c r="H11" s="2" t="s">
        <v>13</v>
      </c>
      <c r="I11" s="2" t="s">
        <v>14</v>
      </c>
      <c r="J11" s="2">
        <f t="shared" si="1"/>
        <v>15</v>
      </c>
      <c r="K11" s="6" t="str">
        <f t="shared" si="0"/>
        <v>T:2122496</v>
      </c>
    </row>
    <row r="12" spans="1:11" x14ac:dyDescent="0.2">
      <c r="A12" s="2">
        <v>11</v>
      </c>
      <c r="B12" s="2" t="s">
        <v>9</v>
      </c>
      <c r="C12" s="2" t="s">
        <v>23</v>
      </c>
      <c r="D12" s="2" t="s">
        <v>24</v>
      </c>
      <c r="E12" s="2">
        <v>8</v>
      </c>
      <c r="F12" s="2" t="s">
        <v>12</v>
      </c>
      <c r="G12" s="2" t="s">
        <v>24</v>
      </c>
      <c r="H12" s="2" t="s">
        <v>13</v>
      </c>
      <c r="I12" s="2" t="s">
        <v>14</v>
      </c>
      <c r="J12" s="2">
        <f t="shared" si="1"/>
        <v>24</v>
      </c>
      <c r="K12" s="6" t="str">
        <f t="shared" si="0"/>
        <v>20100908</v>
      </c>
    </row>
    <row r="13" spans="1:11" x14ac:dyDescent="0.2">
      <c r="A13" s="2">
        <v>12</v>
      </c>
      <c r="B13" s="2" t="s">
        <v>9</v>
      </c>
      <c r="C13" s="2" t="s">
        <v>25</v>
      </c>
      <c r="D13" s="2" t="s">
        <v>26</v>
      </c>
      <c r="E13" s="2">
        <v>4</v>
      </c>
      <c r="F13" s="2" t="s">
        <v>12</v>
      </c>
      <c r="G13" s="2" t="s">
        <v>26</v>
      </c>
      <c r="H13" s="2" t="s">
        <v>13</v>
      </c>
      <c r="I13" s="2" t="s">
        <v>14</v>
      </c>
      <c r="J13" s="2">
        <f t="shared" si="1"/>
        <v>32</v>
      </c>
      <c r="K13" s="6" t="str">
        <f t="shared" si="0"/>
        <v>0751</v>
      </c>
    </row>
    <row r="14" spans="1:11" x14ac:dyDescent="0.2">
      <c r="A14" s="2">
        <v>13</v>
      </c>
      <c r="B14" s="2" t="s">
        <v>9</v>
      </c>
      <c r="C14" s="2" t="s">
        <v>27</v>
      </c>
      <c r="D14" s="2" t="s">
        <v>28</v>
      </c>
      <c r="E14" s="2">
        <v>10</v>
      </c>
      <c r="F14" s="2" t="s">
        <v>12</v>
      </c>
      <c r="G14" s="2" t="s">
        <v>28</v>
      </c>
      <c r="H14" s="2" t="s">
        <v>13</v>
      </c>
      <c r="I14" s="2" t="s">
        <v>14</v>
      </c>
      <c r="J14" s="2">
        <f t="shared" si="1"/>
        <v>36</v>
      </c>
      <c r="K14" s="6" t="str">
        <f t="shared" si="0"/>
        <v xml:space="preserve">INITIAL   </v>
      </c>
    </row>
    <row r="15" spans="1:11" x14ac:dyDescent="0.2">
      <c r="A15" s="2">
        <v>14</v>
      </c>
      <c r="B15" s="2" t="s">
        <v>9</v>
      </c>
      <c r="C15" s="2" t="s">
        <v>45</v>
      </c>
      <c r="D15" s="2" t="s">
        <v>46</v>
      </c>
      <c r="E15" s="2">
        <v>5</v>
      </c>
      <c r="F15" s="2" t="s">
        <v>12</v>
      </c>
      <c r="G15" s="2" t="s">
        <v>46</v>
      </c>
      <c r="H15" s="2" t="s">
        <v>13</v>
      </c>
      <c r="I15" s="2" t="s">
        <v>14</v>
      </c>
      <c r="J15" s="2">
        <f t="shared" si="1"/>
        <v>46</v>
      </c>
      <c r="K15" s="6" t="str">
        <f t="shared" si="0"/>
        <v>LUDBN</v>
      </c>
    </row>
    <row r="16" spans="1:11" x14ac:dyDescent="0.2">
      <c r="A16" s="2">
        <v>15</v>
      </c>
      <c r="B16" s="2" t="s">
        <v>9</v>
      </c>
      <c r="C16" s="2" t="s">
        <v>73</v>
      </c>
      <c r="D16" s="2" t="s">
        <v>92</v>
      </c>
      <c r="E16" s="2">
        <v>10</v>
      </c>
      <c r="F16" s="2" t="s">
        <v>12</v>
      </c>
      <c r="G16" s="2" t="s">
        <v>92</v>
      </c>
      <c r="H16" s="2" t="s">
        <v>13</v>
      </c>
      <c r="I16" s="2" t="s">
        <v>14</v>
      </c>
      <c r="J16" s="2">
        <f t="shared" si="1"/>
        <v>51</v>
      </c>
      <c r="K16" s="6" t="str">
        <f t="shared" si="0"/>
        <v xml:space="preserve">GUM       </v>
      </c>
    </row>
    <row r="17" spans="1:11" x14ac:dyDescent="0.2">
      <c r="A17" s="2">
        <v>16</v>
      </c>
      <c r="B17" s="2" t="s">
        <v>9</v>
      </c>
      <c r="C17" s="2" t="s">
        <v>74</v>
      </c>
      <c r="D17" s="2" t="s">
        <v>93</v>
      </c>
      <c r="E17" s="2">
        <v>8</v>
      </c>
      <c r="F17" s="2" t="s">
        <v>12</v>
      </c>
      <c r="G17" s="2" t="s">
        <v>93</v>
      </c>
      <c r="H17" s="2" t="s">
        <v>13</v>
      </c>
      <c r="I17" s="2" t="s">
        <v>14</v>
      </c>
      <c r="J17" s="2">
        <f t="shared" si="1"/>
        <v>61</v>
      </c>
      <c r="K17" s="6" t="str">
        <f t="shared" si="0"/>
        <v>A600718-</v>
      </c>
    </row>
    <row r="18" spans="1:11" x14ac:dyDescent="0.2">
      <c r="A18" s="2">
        <v>17</v>
      </c>
      <c r="B18" s="2" t="s">
        <v>9</v>
      </c>
      <c r="C18" s="2" t="s">
        <v>39</v>
      </c>
      <c r="D18" s="2" t="s">
        <v>40</v>
      </c>
      <c r="E18" s="2">
        <v>25</v>
      </c>
      <c r="F18" s="2" t="s">
        <v>12</v>
      </c>
      <c r="G18" s="2" t="s">
        <v>40</v>
      </c>
      <c r="H18" s="2" t="s">
        <v>13</v>
      </c>
      <c r="I18" s="2" t="s">
        <v>14</v>
      </c>
      <c r="J18" s="2">
        <f t="shared" si="1"/>
        <v>69</v>
      </c>
      <c r="K18" s="6" t="str">
        <f t="shared" si="0"/>
        <v xml:space="preserve">8IN MULTI VOTIVE         </v>
      </c>
    </row>
    <row r="19" spans="1:11" x14ac:dyDescent="0.2">
      <c r="A19" s="2">
        <v>18</v>
      </c>
      <c r="B19" s="2" t="s">
        <v>9</v>
      </c>
      <c r="C19" s="2" t="s">
        <v>29</v>
      </c>
      <c r="D19" s="2" t="s">
        <v>30</v>
      </c>
      <c r="E19" s="2">
        <v>2</v>
      </c>
      <c r="F19" s="2" t="s">
        <v>12</v>
      </c>
      <c r="G19" s="2" t="s">
        <v>30</v>
      </c>
      <c r="H19" s="2" t="s">
        <v>13</v>
      </c>
      <c r="I19" s="2" t="s">
        <v>14</v>
      </c>
      <c r="J19" s="2">
        <f t="shared" si="1"/>
        <v>94</v>
      </c>
      <c r="K19" s="6" t="str">
        <f t="shared" si="0"/>
        <v>34</v>
      </c>
    </row>
    <row r="20" spans="1:11" x14ac:dyDescent="0.2">
      <c r="A20" s="2">
        <v>19</v>
      </c>
      <c r="B20" s="2" t="s">
        <v>9</v>
      </c>
      <c r="C20" s="2" t="s">
        <v>31</v>
      </c>
      <c r="D20" s="2" t="s">
        <v>32</v>
      </c>
      <c r="E20" s="2">
        <v>4</v>
      </c>
      <c r="F20" s="2" t="s">
        <v>12</v>
      </c>
      <c r="G20" s="2" t="s">
        <v>32</v>
      </c>
      <c r="H20" s="2" t="s">
        <v>13</v>
      </c>
      <c r="I20" s="2" t="s">
        <v>14</v>
      </c>
      <c r="J20" s="2">
        <f t="shared" si="1"/>
        <v>96</v>
      </c>
      <c r="K20" s="6" t="str">
        <f t="shared" si="0"/>
        <v>1233</v>
      </c>
    </row>
    <row r="21" spans="1:11" x14ac:dyDescent="0.2">
      <c r="A21" s="2">
        <v>20</v>
      </c>
      <c r="B21" s="2" t="s">
        <v>9</v>
      </c>
      <c r="C21" s="2" t="s">
        <v>33</v>
      </c>
      <c r="D21" s="2" t="s">
        <v>34</v>
      </c>
      <c r="E21" s="2">
        <v>6</v>
      </c>
      <c r="F21" s="2" t="s">
        <v>12</v>
      </c>
      <c r="G21" s="2" t="s">
        <v>34</v>
      </c>
      <c r="H21" s="2" t="s">
        <v>13</v>
      </c>
      <c r="I21" s="2" t="s">
        <v>14</v>
      </c>
      <c r="J21" s="2">
        <f t="shared" si="1"/>
        <v>100</v>
      </c>
      <c r="K21" s="6" t="str">
        <f t="shared" si="0"/>
        <v>159174</v>
      </c>
    </row>
    <row r="22" spans="1:11" x14ac:dyDescent="0.2">
      <c r="A22" s="2">
        <v>21</v>
      </c>
      <c r="B22" s="2" t="s">
        <v>9</v>
      </c>
      <c r="C22" s="2" t="s">
        <v>35</v>
      </c>
      <c r="D22" s="2" t="s">
        <v>36</v>
      </c>
      <c r="E22" s="2">
        <v>1</v>
      </c>
      <c r="F22" s="2" t="s">
        <v>12</v>
      </c>
      <c r="G22" s="2" t="s">
        <v>36</v>
      </c>
      <c r="H22" s="2" t="s">
        <v>13</v>
      </c>
      <c r="I22" s="2" t="s">
        <v>14</v>
      </c>
      <c r="J22" s="2">
        <f t="shared" si="1"/>
        <v>106</v>
      </c>
      <c r="K22" s="6" t="str">
        <f t="shared" si="0"/>
        <v>1</v>
      </c>
    </row>
    <row r="23" spans="1:11" x14ac:dyDescent="0.2">
      <c r="A23" s="2">
        <v>22</v>
      </c>
      <c r="B23" s="2" t="s">
        <v>9</v>
      </c>
      <c r="C23" s="2" t="s">
        <v>37</v>
      </c>
      <c r="D23" s="2" t="s">
        <v>38</v>
      </c>
      <c r="E23" s="2">
        <v>1</v>
      </c>
      <c r="F23" s="2" t="s">
        <v>12</v>
      </c>
      <c r="G23" s="2" t="s">
        <v>38</v>
      </c>
      <c r="H23" s="2" t="s">
        <v>13</v>
      </c>
      <c r="I23" s="2" t="s">
        <v>14</v>
      </c>
      <c r="J23" s="2">
        <f t="shared" si="1"/>
        <v>107</v>
      </c>
      <c r="K23" s="6" t="str">
        <f t="shared" si="0"/>
        <v>N</v>
      </c>
    </row>
    <row r="24" spans="1:11" x14ac:dyDescent="0.2">
      <c r="A24" s="2">
        <v>23</v>
      </c>
      <c r="B24" s="2" t="s">
        <v>9</v>
      </c>
      <c r="C24" s="2" t="s">
        <v>75</v>
      </c>
      <c r="D24" s="2" t="s">
        <v>94</v>
      </c>
      <c r="E24" s="2">
        <v>10</v>
      </c>
      <c r="F24" s="2" t="s">
        <v>12</v>
      </c>
      <c r="G24" s="2" t="s">
        <v>94</v>
      </c>
      <c r="H24" s="2" t="s">
        <v>13</v>
      </c>
      <c r="I24" s="2" t="s">
        <v>14</v>
      </c>
      <c r="J24" s="2">
        <f t="shared" si="1"/>
        <v>108</v>
      </c>
      <c r="K24" s="6" t="str">
        <f t="shared" si="0"/>
        <v xml:space="preserve">          </v>
      </c>
    </row>
    <row r="25" spans="1:11" x14ac:dyDescent="0.2">
      <c r="A25" s="2">
        <v>24</v>
      </c>
      <c r="B25" s="2" t="s">
        <v>9</v>
      </c>
      <c r="C25" s="2" t="s">
        <v>76</v>
      </c>
      <c r="D25" s="2" t="s">
        <v>95</v>
      </c>
      <c r="E25" s="2">
        <v>10</v>
      </c>
      <c r="F25" s="2" t="s">
        <v>12</v>
      </c>
      <c r="G25" s="2" t="s">
        <v>95</v>
      </c>
      <c r="H25" s="2" t="s">
        <v>13</v>
      </c>
      <c r="I25" s="2" t="s">
        <v>14</v>
      </c>
      <c r="J25" s="2">
        <f t="shared" si="1"/>
        <v>118</v>
      </c>
      <c r="K25" s="6" t="str">
        <f t="shared" si="0"/>
        <v xml:space="preserve">          </v>
      </c>
    </row>
    <row r="26" spans="1:11" x14ac:dyDescent="0.2">
      <c r="A26" s="2">
        <v>25</v>
      </c>
      <c r="B26" s="2" t="s">
        <v>9</v>
      </c>
      <c r="C26" s="2" t="s">
        <v>77</v>
      </c>
      <c r="D26" s="2" t="s">
        <v>69</v>
      </c>
      <c r="E26" s="2">
        <v>6</v>
      </c>
      <c r="F26" s="2" t="s">
        <v>12</v>
      </c>
      <c r="G26" s="2" t="s">
        <v>69</v>
      </c>
      <c r="H26" s="2" t="s">
        <v>13</v>
      </c>
      <c r="I26" s="2" t="s">
        <v>14</v>
      </c>
      <c r="J26" s="2">
        <f t="shared" si="1"/>
        <v>128</v>
      </c>
      <c r="K26" s="6" t="str">
        <f t="shared" si="0"/>
        <v>002400</v>
      </c>
    </row>
    <row r="27" spans="1:11" x14ac:dyDescent="0.2">
      <c r="A27" s="2">
        <v>26</v>
      </c>
      <c r="B27" s="2" t="s">
        <v>9</v>
      </c>
      <c r="C27" s="2" t="s">
        <v>78</v>
      </c>
      <c r="D27" s="2" t="s">
        <v>96</v>
      </c>
      <c r="E27" s="2">
        <v>1</v>
      </c>
      <c r="F27" s="2" t="s">
        <v>12</v>
      </c>
      <c r="G27" s="2" t="s">
        <v>96</v>
      </c>
      <c r="H27" s="2" t="s">
        <v>13</v>
      </c>
      <c r="I27" s="2" t="s">
        <v>14</v>
      </c>
      <c r="J27" s="2">
        <f t="shared" si="1"/>
        <v>134</v>
      </c>
      <c r="K27" s="6" t="str">
        <f t="shared" si="0"/>
        <v>N</v>
      </c>
    </row>
    <row r="28" spans="1:11" x14ac:dyDescent="0.2">
      <c r="A28" s="2">
        <v>27</v>
      </c>
      <c r="B28" s="2" t="s">
        <v>9</v>
      </c>
      <c r="C28" s="2" t="s">
        <v>79</v>
      </c>
      <c r="D28" s="2" t="s">
        <v>68</v>
      </c>
      <c r="E28" s="2">
        <v>6</v>
      </c>
      <c r="F28" s="2" t="s">
        <v>12</v>
      </c>
      <c r="G28" s="2" t="s">
        <v>68</v>
      </c>
      <c r="H28" s="2" t="s">
        <v>13</v>
      </c>
      <c r="I28" s="2" t="s">
        <v>14</v>
      </c>
      <c r="J28" s="2">
        <f t="shared" si="1"/>
        <v>135</v>
      </c>
      <c r="K28" s="6" t="str">
        <f t="shared" si="0"/>
        <v>000799</v>
      </c>
    </row>
    <row r="29" spans="1:11" x14ac:dyDescent="0.2">
      <c r="A29" s="2">
        <v>28</v>
      </c>
      <c r="B29" s="2" t="s">
        <v>9</v>
      </c>
      <c r="C29" s="2" t="s">
        <v>80</v>
      </c>
      <c r="D29" s="2" t="s">
        <v>47</v>
      </c>
      <c r="E29" s="2">
        <v>7</v>
      </c>
      <c r="F29" s="2" t="s">
        <v>12</v>
      </c>
      <c r="G29" s="2" t="s">
        <v>47</v>
      </c>
      <c r="H29" s="2" t="s">
        <v>13</v>
      </c>
      <c r="I29" s="2" t="s">
        <v>14</v>
      </c>
      <c r="J29" s="2">
        <f t="shared" si="1"/>
        <v>141</v>
      </c>
      <c r="K29" s="6" t="str">
        <f t="shared" si="0"/>
        <v>0000067</v>
      </c>
    </row>
    <row r="30" spans="1:11" x14ac:dyDescent="0.2">
      <c r="A30" s="2">
        <v>29</v>
      </c>
      <c r="B30" s="2" t="s">
        <v>9</v>
      </c>
      <c r="C30" s="2" t="s">
        <v>81</v>
      </c>
      <c r="D30" s="2" t="s">
        <v>97</v>
      </c>
      <c r="E30" s="2">
        <v>9</v>
      </c>
      <c r="F30" s="2" t="s">
        <v>12</v>
      </c>
      <c r="G30" s="2" t="s">
        <v>97</v>
      </c>
      <c r="H30" s="2" t="s">
        <v>13</v>
      </c>
      <c r="I30" s="2" t="s">
        <v>14</v>
      </c>
      <c r="J30" s="2">
        <f t="shared" si="1"/>
        <v>148</v>
      </c>
      <c r="K30" s="6" t="str">
        <f t="shared" si="0"/>
        <v>000000000</v>
      </c>
    </row>
    <row r="31" spans="1:11" x14ac:dyDescent="0.2">
      <c r="A31" s="2">
        <v>30</v>
      </c>
      <c r="B31" s="2" t="s">
        <v>9</v>
      </c>
      <c r="C31" s="2" t="s">
        <v>82</v>
      </c>
      <c r="D31" s="2" t="s">
        <v>98</v>
      </c>
      <c r="E31" s="2">
        <v>3</v>
      </c>
      <c r="F31" s="2" t="s">
        <v>12</v>
      </c>
      <c r="G31" s="2" t="s">
        <v>98</v>
      </c>
      <c r="H31" s="2" t="s">
        <v>13</v>
      </c>
      <c r="I31" s="2" t="s">
        <v>14</v>
      </c>
      <c r="J31" s="2">
        <f t="shared" si="1"/>
        <v>157</v>
      </c>
      <c r="K31" s="6" t="str">
        <f t="shared" si="0"/>
        <v>000</v>
      </c>
    </row>
    <row r="32" spans="1:11" x14ac:dyDescent="0.2">
      <c r="A32" s="2">
        <v>31</v>
      </c>
      <c r="B32" s="2" t="s">
        <v>9</v>
      </c>
      <c r="C32" s="2" t="s">
        <v>83</v>
      </c>
      <c r="D32" s="2" t="s">
        <v>99</v>
      </c>
      <c r="E32" s="2">
        <v>4</v>
      </c>
      <c r="F32" s="2" t="s">
        <v>12</v>
      </c>
      <c r="G32" s="2" t="s">
        <v>99</v>
      </c>
      <c r="H32" s="2" t="s">
        <v>13</v>
      </c>
      <c r="I32" s="2" t="s">
        <v>14</v>
      </c>
      <c r="J32" s="2">
        <f t="shared" si="1"/>
        <v>160</v>
      </c>
      <c r="K32" s="6" t="str">
        <f t="shared" si="0"/>
        <v>0910</v>
      </c>
    </row>
    <row r="33" spans="1:11" x14ac:dyDescent="0.2">
      <c r="A33" s="2">
        <v>32</v>
      </c>
      <c r="B33" s="2" t="s">
        <v>9</v>
      </c>
      <c r="C33" s="2" t="s">
        <v>84</v>
      </c>
      <c r="D33" s="2" t="s">
        <v>100</v>
      </c>
      <c r="E33" s="2">
        <v>2</v>
      </c>
      <c r="F33" s="2" t="s">
        <v>12</v>
      </c>
      <c r="G33" s="2" t="s">
        <v>100</v>
      </c>
      <c r="H33" s="2" t="s">
        <v>13</v>
      </c>
      <c r="I33" s="2" t="s">
        <v>14</v>
      </c>
      <c r="J33" s="2">
        <f t="shared" si="1"/>
        <v>164</v>
      </c>
      <c r="K33" s="6" t="str">
        <f t="shared" si="0"/>
        <v>09</v>
      </c>
    </row>
    <row r="34" spans="1:11" x14ac:dyDescent="0.2">
      <c r="A34" s="2">
        <v>33</v>
      </c>
      <c r="B34" s="2" t="s">
        <v>9</v>
      </c>
      <c r="C34" s="2" t="s">
        <v>41</v>
      </c>
      <c r="D34" s="2" t="s">
        <v>42</v>
      </c>
      <c r="E34" s="2">
        <v>2</v>
      </c>
      <c r="F34" s="2" t="s">
        <v>12</v>
      </c>
      <c r="G34" s="2" t="s">
        <v>42</v>
      </c>
      <c r="H34" s="2" t="s">
        <v>13</v>
      </c>
      <c r="I34" s="2" t="s">
        <v>14</v>
      </c>
      <c r="J34" s="2">
        <f t="shared" si="1"/>
        <v>166</v>
      </c>
      <c r="K34" s="6" t="str">
        <f t="shared" si="0"/>
        <v>01</v>
      </c>
    </row>
    <row r="35" spans="1:11" x14ac:dyDescent="0.2">
      <c r="A35" s="2">
        <v>34</v>
      </c>
      <c r="B35" s="2" t="s">
        <v>9</v>
      </c>
      <c r="C35" s="2" t="s">
        <v>85</v>
      </c>
      <c r="D35" s="2" t="s">
        <v>101</v>
      </c>
      <c r="E35" s="2">
        <v>2</v>
      </c>
      <c r="F35" s="2" t="s">
        <v>12</v>
      </c>
      <c r="G35" s="2" t="s">
        <v>101</v>
      </c>
      <c r="H35" s="2" t="s">
        <v>13</v>
      </c>
      <c r="I35" s="2" t="s">
        <v>14</v>
      </c>
      <c r="J35" s="2">
        <f t="shared" si="1"/>
        <v>168</v>
      </c>
      <c r="K35" s="6" t="str">
        <f t="shared" si="0"/>
        <v>00</v>
      </c>
    </row>
    <row r="36" spans="1:11" x14ac:dyDescent="0.2">
      <c r="A36" s="2">
        <v>47</v>
      </c>
      <c r="B36" s="2" t="s">
        <v>9</v>
      </c>
      <c r="C36" s="2" t="s">
        <v>86</v>
      </c>
      <c r="D36" s="2" t="s">
        <v>102</v>
      </c>
      <c r="E36" s="2">
        <v>20</v>
      </c>
      <c r="F36" s="2" t="s">
        <v>12</v>
      </c>
      <c r="G36" s="2" t="s">
        <v>102</v>
      </c>
      <c r="H36" s="2" t="s">
        <v>13</v>
      </c>
      <c r="I36" s="2" t="s">
        <v>14</v>
      </c>
      <c r="J36" s="2">
        <f t="shared" si="1"/>
        <v>170</v>
      </c>
      <c r="K36" s="6" t="str">
        <f t="shared" si="0"/>
        <v xml:space="preserve">                    </v>
      </c>
    </row>
    <row r="37" spans="1:11" x14ac:dyDescent="0.2">
      <c r="A37" s="2">
        <v>48</v>
      </c>
      <c r="B37" s="2" t="s">
        <v>9</v>
      </c>
      <c r="C37" s="2" t="s">
        <v>87</v>
      </c>
      <c r="D37" s="2" t="s">
        <v>103</v>
      </c>
      <c r="E37" s="2">
        <v>20</v>
      </c>
      <c r="F37" s="2" t="s">
        <v>12</v>
      </c>
      <c r="G37" s="2" t="s">
        <v>103</v>
      </c>
      <c r="H37" s="2" t="s">
        <v>13</v>
      </c>
      <c r="I37" s="2" t="s">
        <v>14</v>
      </c>
      <c r="J37" s="2">
        <f t="shared" si="1"/>
        <v>190</v>
      </c>
      <c r="K37" s="6" t="str">
        <f t="shared" si="0"/>
        <v xml:space="preserve">                    </v>
      </c>
    </row>
    <row r="38" spans="1:11" x14ac:dyDescent="0.2">
      <c r="A38" s="2">
        <v>49</v>
      </c>
      <c r="B38" s="2" t="s">
        <v>9</v>
      </c>
      <c r="C38" s="2" t="s">
        <v>88</v>
      </c>
      <c r="D38" s="2" t="s">
        <v>104</v>
      </c>
      <c r="E38" s="2">
        <v>20</v>
      </c>
      <c r="F38" s="2" t="s">
        <v>12</v>
      </c>
      <c r="G38" s="2" t="s">
        <v>104</v>
      </c>
      <c r="H38" s="2" t="s">
        <v>13</v>
      </c>
      <c r="I38" s="2" t="s">
        <v>14</v>
      </c>
      <c r="J38" s="2">
        <f t="shared" si="1"/>
        <v>210</v>
      </c>
      <c r="K38" s="6" t="str">
        <f t="shared" si="0"/>
        <v xml:space="preserve">                    </v>
      </c>
    </row>
    <row r="39" spans="1:11" x14ac:dyDescent="0.2">
      <c r="A39" s="2">
        <v>50</v>
      </c>
      <c r="B39" s="2" t="s">
        <v>9</v>
      </c>
      <c r="C39" s="2" t="s">
        <v>89</v>
      </c>
      <c r="D39" s="2" t="s">
        <v>105</v>
      </c>
      <c r="E39" s="2">
        <v>20</v>
      </c>
      <c r="F39" s="2" t="s">
        <v>12</v>
      </c>
      <c r="G39" s="2" t="s">
        <v>105</v>
      </c>
      <c r="H39" s="2" t="s">
        <v>13</v>
      </c>
      <c r="I39" s="2" t="s">
        <v>14</v>
      </c>
      <c r="J39" s="2">
        <f t="shared" si="1"/>
        <v>230</v>
      </c>
      <c r="K39" s="6" t="str">
        <f t="shared" si="0"/>
        <v xml:space="preserve">                    </v>
      </c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6" t="str">
        <f t="shared" ref="K40" si="2">IF(J40&lt;&gt;"",MID($A$1, J40,E40),"")</f>
        <v/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F30" sqref="F30"/>
    </sheetView>
  </sheetViews>
  <sheetFormatPr defaultRowHeight="12" x14ac:dyDescent="0.2"/>
  <cols>
    <col min="1" max="1" width="7.85546875" style="1" bestFit="1" customWidth="1"/>
    <col min="2" max="2" width="15" style="1" bestFit="1" customWidth="1"/>
    <col min="3" max="3" width="8.140625" style="1" bestFit="1" customWidth="1"/>
    <col min="4" max="4" width="16.42578125" style="1" bestFit="1" customWidth="1"/>
    <col min="5" max="5" width="7.7109375" style="1" bestFit="1" customWidth="1"/>
    <col min="6" max="6" width="8.85546875" style="1" bestFit="1" customWidth="1"/>
    <col min="7" max="7" width="16.42578125" style="1" bestFit="1" customWidth="1"/>
    <col min="8" max="8" width="13.42578125" style="1" bestFit="1" customWidth="1"/>
    <col min="9" max="9" width="14.42578125" style="1" bestFit="1" customWidth="1"/>
    <col min="10" max="10" width="11.5703125" style="1" customWidth="1"/>
    <col min="11" max="11" width="16.42578125" style="1" customWidth="1"/>
    <col min="12" max="16384" width="9.140625" style="1"/>
  </cols>
  <sheetData>
    <row r="1" spans="1:11" x14ac:dyDescent="0.2">
      <c r="A1" s="1" t="s">
        <v>107</v>
      </c>
    </row>
    <row r="4" spans="1:1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66</v>
      </c>
      <c r="K4" s="5" t="s">
        <v>67</v>
      </c>
    </row>
    <row r="5" spans="1:11" x14ac:dyDescent="0.2">
      <c r="A5" s="2">
        <v>35</v>
      </c>
      <c r="B5" s="2" t="s">
        <v>106</v>
      </c>
      <c r="C5" s="2" t="s">
        <v>43</v>
      </c>
      <c r="D5" s="2" t="s">
        <v>44</v>
      </c>
      <c r="E5" s="2">
        <v>8</v>
      </c>
      <c r="F5" s="2" t="s">
        <v>12</v>
      </c>
      <c r="G5" s="2" t="s">
        <v>44</v>
      </c>
      <c r="H5" s="2" t="s">
        <v>13</v>
      </c>
      <c r="I5" s="2" t="s">
        <v>14</v>
      </c>
      <c r="J5" s="2">
        <v>1</v>
      </c>
      <c r="K5" s="6" t="str">
        <f>IF(J5&lt;&gt;"",MID($A$1, J5,E5),"")</f>
        <v xml:space="preserve">RCV034  </v>
      </c>
    </row>
    <row r="6" spans="1:11" x14ac:dyDescent="0.2">
      <c r="A6" s="2">
        <v>36</v>
      </c>
      <c r="B6" s="2" t="s">
        <v>106</v>
      </c>
      <c r="C6" s="2" t="s">
        <v>48</v>
      </c>
      <c r="D6" s="2" t="s">
        <v>49</v>
      </c>
      <c r="E6" s="2" t="s">
        <v>12</v>
      </c>
      <c r="F6" s="2" t="s">
        <v>12</v>
      </c>
      <c r="G6" s="2" t="s">
        <v>49</v>
      </c>
      <c r="H6" s="2" t="s">
        <v>13</v>
      </c>
      <c r="I6" s="2" t="s">
        <v>14</v>
      </c>
      <c r="J6" s="2">
        <f>J5+E5</f>
        <v>9</v>
      </c>
      <c r="K6" s="6" t="e">
        <f t="shared" ref="K6:K14" si="0">IF(J6&lt;&gt;"",MID($A$1, J6,E6),"")</f>
        <v>#VALUE!</v>
      </c>
    </row>
    <row r="7" spans="1:11" x14ac:dyDescent="0.2">
      <c r="A7" s="2">
        <v>37</v>
      </c>
      <c r="B7" s="2" t="s">
        <v>106</v>
      </c>
      <c r="C7" s="2" t="s">
        <v>50</v>
      </c>
      <c r="D7" s="2" t="s">
        <v>51</v>
      </c>
      <c r="E7" s="2" t="s">
        <v>12</v>
      </c>
      <c r="F7" s="2" t="s">
        <v>12</v>
      </c>
      <c r="G7" s="2" t="s">
        <v>51</v>
      </c>
      <c r="H7" s="2" t="s">
        <v>13</v>
      </c>
      <c r="I7" s="2" t="s">
        <v>14</v>
      </c>
      <c r="J7" s="2" t="e">
        <f t="shared" ref="J7:J14" si="1">J6+E6</f>
        <v>#VALUE!</v>
      </c>
      <c r="K7" s="6" t="e">
        <f t="shared" si="0"/>
        <v>#VALUE!</v>
      </c>
    </row>
    <row r="8" spans="1:11" x14ac:dyDescent="0.2">
      <c r="A8" s="2">
        <v>38</v>
      </c>
      <c r="B8" s="2" t="s">
        <v>106</v>
      </c>
      <c r="C8" s="2" t="s">
        <v>52</v>
      </c>
      <c r="D8" s="2" t="s">
        <v>53</v>
      </c>
      <c r="E8" s="2" t="s">
        <v>12</v>
      </c>
      <c r="F8" s="2" t="s">
        <v>12</v>
      </c>
      <c r="G8" s="2" t="s">
        <v>53</v>
      </c>
      <c r="H8" s="2" t="s">
        <v>13</v>
      </c>
      <c r="I8" s="2" t="s">
        <v>14</v>
      </c>
      <c r="J8" s="2" t="e">
        <f t="shared" si="1"/>
        <v>#VALUE!</v>
      </c>
      <c r="K8" s="6" t="e">
        <f t="shared" si="0"/>
        <v>#VALUE!</v>
      </c>
    </row>
    <row r="9" spans="1:11" x14ac:dyDescent="0.2">
      <c r="A9" s="2">
        <v>39</v>
      </c>
      <c r="B9" s="2" t="s">
        <v>106</v>
      </c>
      <c r="C9" s="2" t="s">
        <v>54</v>
      </c>
      <c r="D9" s="2" t="s">
        <v>55</v>
      </c>
      <c r="E9" s="2" t="s">
        <v>12</v>
      </c>
      <c r="F9" s="2" t="s">
        <v>12</v>
      </c>
      <c r="G9" s="2" t="s">
        <v>55</v>
      </c>
      <c r="H9" s="2" t="s">
        <v>13</v>
      </c>
      <c r="I9" s="2" t="s">
        <v>14</v>
      </c>
      <c r="J9" s="2" t="e">
        <f t="shared" si="1"/>
        <v>#VALUE!</v>
      </c>
      <c r="K9" s="6" t="e">
        <f t="shared" si="0"/>
        <v>#VALUE!</v>
      </c>
    </row>
    <row r="10" spans="1:11" x14ac:dyDescent="0.2">
      <c r="A10" s="2">
        <v>40</v>
      </c>
      <c r="B10" s="2" t="s">
        <v>106</v>
      </c>
      <c r="C10" s="2" t="s">
        <v>56</v>
      </c>
      <c r="D10" s="2" t="s">
        <v>57</v>
      </c>
      <c r="E10" s="2" t="s">
        <v>12</v>
      </c>
      <c r="F10" s="2" t="s">
        <v>12</v>
      </c>
      <c r="G10" s="2" t="s">
        <v>57</v>
      </c>
      <c r="H10" s="2" t="s">
        <v>13</v>
      </c>
      <c r="I10" s="2" t="s">
        <v>14</v>
      </c>
      <c r="J10" s="2" t="e">
        <f t="shared" si="1"/>
        <v>#VALUE!</v>
      </c>
      <c r="K10" s="6" t="e">
        <f t="shared" si="0"/>
        <v>#VALUE!</v>
      </c>
    </row>
    <row r="11" spans="1:11" x14ac:dyDescent="0.2">
      <c r="A11" s="2">
        <v>41</v>
      </c>
      <c r="B11" s="2" t="s">
        <v>106</v>
      </c>
      <c r="C11" s="2" t="s">
        <v>58</v>
      </c>
      <c r="D11" s="2" t="s">
        <v>59</v>
      </c>
      <c r="E11" s="2" t="s">
        <v>12</v>
      </c>
      <c r="F11" s="2" t="s">
        <v>12</v>
      </c>
      <c r="G11" s="2" t="s">
        <v>59</v>
      </c>
      <c r="H11" s="2" t="s">
        <v>13</v>
      </c>
      <c r="I11" s="2" t="s">
        <v>14</v>
      </c>
      <c r="J11" s="2" t="e">
        <f t="shared" si="1"/>
        <v>#VALUE!</v>
      </c>
      <c r="K11" s="6" t="e">
        <f t="shared" si="0"/>
        <v>#VALUE!</v>
      </c>
    </row>
    <row r="12" spans="1:11" x14ac:dyDescent="0.2">
      <c r="A12" s="2">
        <v>42</v>
      </c>
      <c r="B12" s="2" t="s">
        <v>106</v>
      </c>
      <c r="C12" s="2" t="s">
        <v>60</v>
      </c>
      <c r="D12" s="2" t="s">
        <v>61</v>
      </c>
      <c r="E12" s="2" t="s">
        <v>12</v>
      </c>
      <c r="F12" s="2" t="s">
        <v>12</v>
      </c>
      <c r="G12" s="2" t="s">
        <v>61</v>
      </c>
      <c r="H12" s="2" t="s">
        <v>13</v>
      </c>
      <c r="I12" s="2" t="s">
        <v>14</v>
      </c>
      <c r="J12" s="2" t="e">
        <f t="shared" si="1"/>
        <v>#VALUE!</v>
      </c>
      <c r="K12" s="6" t="e">
        <f t="shared" si="0"/>
        <v>#VALUE!</v>
      </c>
    </row>
    <row r="13" spans="1:11" x14ac:dyDescent="0.2">
      <c r="A13" s="2">
        <v>43</v>
      </c>
      <c r="B13" s="2" t="s">
        <v>106</v>
      </c>
      <c r="C13" s="2" t="s">
        <v>62</v>
      </c>
      <c r="D13" s="2" t="s">
        <v>63</v>
      </c>
      <c r="E13" s="2" t="s">
        <v>12</v>
      </c>
      <c r="F13" s="2" t="s">
        <v>12</v>
      </c>
      <c r="G13" s="2" t="s">
        <v>63</v>
      </c>
      <c r="H13" s="2" t="s">
        <v>13</v>
      </c>
      <c r="I13" s="2" t="s">
        <v>14</v>
      </c>
      <c r="J13" s="2" t="e">
        <f t="shared" si="1"/>
        <v>#VALUE!</v>
      </c>
      <c r="K13" s="6" t="e">
        <f t="shared" si="0"/>
        <v>#VALUE!</v>
      </c>
    </row>
    <row r="14" spans="1:11" x14ac:dyDescent="0.2">
      <c r="A14" s="2">
        <v>44</v>
      </c>
      <c r="B14" s="2" t="s">
        <v>106</v>
      </c>
      <c r="C14" s="2" t="s">
        <v>64</v>
      </c>
      <c r="D14" s="2" t="s">
        <v>65</v>
      </c>
      <c r="E14" s="2" t="s">
        <v>12</v>
      </c>
      <c r="F14" s="2" t="s">
        <v>12</v>
      </c>
      <c r="G14" s="2" t="s">
        <v>65</v>
      </c>
      <c r="H14" s="2" t="s">
        <v>13</v>
      </c>
      <c r="I14" s="2" t="s">
        <v>14</v>
      </c>
      <c r="J14" s="2" t="e">
        <f t="shared" si="1"/>
        <v>#VALUE!</v>
      </c>
      <c r="K14" s="6" t="e">
        <f t="shared" si="0"/>
        <v>#VALUE!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G10" sqref="G10"/>
    </sheetView>
  </sheetViews>
  <sheetFormatPr defaultRowHeight="15" x14ac:dyDescent="0.25"/>
  <cols>
    <col min="8" max="8" width="13.42578125" bestFit="1" customWidth="1"/>
    <col min="9" max="9" width="11.140625" bestFit="1" customWidth="1"/>
  </cols>
  <sheetData>
    <row r="1" spans="1:11" x14ac:dyDescent="0.25">
      <c r="A1" t="s">
        <v>108</v>
      </c>
    </row>
    <row r="4" spans="1:11" s="1" customFormat="1" ht="12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66</v>
      </c>
      <c r="K4" s="5" t="s">
        <v>67</v>
      </c>
    </row>
    <row r="5" spans="1:11" s="1" customFormat="1" ht="12" x14ac:dyDescent="0.2">
      <c r="A5" s="2">
        <v>45</v>
      </c>
      <c r="B5" s="2" t="s">
        <v>109</v>
      </c>
      <c r="C5" s="2" t="s">
        <v>110</v>
      </c>
      <c r="D5" s="2" t="s">
        <v>112</v>
      </c>
      <c r="E5" s="2">
        <v>6</v>
      </c>
      <c r="F5" s="2" t="s">
        <v>12</v>
      </c>
      <c r="G5" s="2" t="s">
        <v>112</v>
      </c>
      <c r="H5" s="2" t="s">
        <v>13</v>
      </c>
      <c r="I5" s="2" t="s">
        <v>114</v>
      </c>
      <c r="J5" s="2">
        <v>1</v>
      </c>
      <c r="K5" s="6" t="str">
        <f>IF(J5&lt;&gt;"",MID($A$1, J5,E5),"")</f>
        <v xml:space="preserve"> XS   </v>
      </c>
    </row>
    <row r="6" spans="1:11" s="1" customFormat="1" ht="12" x14ac:dyDescent="0.2">
      <c r="A6" s="2">
        <v>46</v>
      </c>
      <c r="B6" s="2" t="s">
        <v>109</v>
      </c>
      <c r="C6" s="2" t="s">
        <v>111</v>
      </c>
      <c r="D6" s="2" t="s">
        <v>113</v>
      </c>
      <c r="E6" s="2">
        <v>5</v>
      </c>
      <c r="F6" s="2" t="s">
        <v>12</v>
      </c>
      <c r="G6" s="2" t="s">
        <v>113</v>
      </c>
      <c r="H6" s="2" t="s">
        <v>13</v>
      </c>
      <c r="I6" s="2" t="s">
        <v>114</v>
      </c>
      <c r="J6" s="2">
        <v>7</v>
      </c>
      <c r="K6" s="6" t="str">
        <f t="shared" ref="K6" si="0">IF(J6&lt;&gt;"",MID($A$1, J6,E6),"")</f>
        <v>00026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</vt:lpstr>
      <vt:lpstr>Lane</vt:lpstr>
      <vt:lpstr>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2024-05-07T13:34:13Z</dcterms:modified>
</cp:coreProperties>
</file>